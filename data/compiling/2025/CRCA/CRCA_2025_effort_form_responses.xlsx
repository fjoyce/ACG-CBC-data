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<sst xmlns="http://schemas.openxmlformats.org/spreadsheetml/2006/main" count="101" uniqueCount="85">
  <si>
    <t>Timestamp</t>
  </si>
  <si>
    <t>Nombre de ruta</t>
  </si>
  <si>
    <t>Líder de ruta</t>
  </si>
  <si>
    <t xml:space="preserve">Correo electrónico de líder </t>
  </si>
  <si>
    <t>Lista de participantes</t>
  </si>
  <si>
    <t>Hora de inicio</t>
  </si>
  <si>
    <t>Hora de finalización</t>
  </si>
  <si>
    <t>Temperatura mínima (grados C)</t>
  </si>
  <si>
    <t>Temperatura máxima (Grados C)</t>
  </si>
  <si>
    <t>Dirección de viento</t>
  </si>
  <si>
    <t>Velocidad  mínima de viento  (km/hr)</t>
  </si>
  <si>
    <t>Velocidad máxima de viento (km/hr)</t>
  </si>
  <si>
    <t>Cobertura de nubes</t>
  </si>
  <si>
    <t>Precipitación</t>
  </si>
  <si>
    <t>Cobertura de nubes 2</t>
  </si>
  <si>
    <t>Precipitación 2</t>
  </si>
  <si>
    <t>Distancia recorrido a pie (km)</t>
  </si>
  <si>
    <t>Tiempo recorrido a pie (horas)</t>
  </si>
  <si>
    <t>Distancia recorrido en carro (km)</t>
  </si>
  <si>
    <t>Tiempo recorrido en carro (horas)</t>
  </si>
  <si>
    <t>Distancia recorrido en moto (km)</t>
  </si>
  <si>
    <t>Tiempo recorrido en moto (horas)</t>
  </si>
  <si>
    <t>Distancia recorrido en panga (km)</t>
  </si>
  <si>
    <t>Tiempo recorrido en panga (horas)</t>
  </si>
  <si>
    <t>Distancia recorrido pajareando de noche (km)</t>
  </si>
  <si>
    <t>Tiempo pajareando de noche (horas)</t>
  </si>
  <si>
    <t>Tiempo pajareando en comederos (horas)</t>
  </si>
  <si>
    <t>¿Algún comentario o retroalimentación?</t>
  </si>
  <si>
    <t xml:space="preserve">San Gerardo </t>
  </si>
  <si>
    <t xml:space="preserve">José Laureano González martinez </t>
  </si>
  <si>
    <t>motocheck@hotmail.com</t>
  </si>
  <si>
    <t>Noroeste</t>
  </si>
  <si>
    <t>Nublado- 66-100% cobertura de nubes</t>
  </si>
  <si>
    <t>Precipitación leve (llovizna)</t>
  </si>
  <si>
    <t xml:space="preserve">fue una muy linda experiencia, conocí a gloria cierzar y a doña elda, que hace muchos años compartieron equipo de trabajo con mi papá en el la casa de la yeni y me contaron algunas enecdotas de esos momentos. además vi algunas aves que no conocía. espero porder seguir participando. </t>
  </si>
  <si>
    <t>Oski Lodge</t>
  </si>
  <si>
    <t>Richard Joyce</t>
  </si>
  <si>
    <t>richardvanjoyce@gmail.com</t>
  </si>
  <si>
    <t>Richard Joyce, Maina Handmaker</t>
  </si>
  <si>
    <t>Desconocido</t>
  </si>
  <si>
    <t>33-66% cobertura de nubes</t>
  </si>
  <si>
    <t>Estación Cacao Arriba y Abajo</t>
  </si>
  <si>
    <t>Bruce Young</t>
  </si>
  <si>
    <t>bruce@bosqueymar.org</t>
  </si>
  <si>
    <t>Bruce Young, Amanda Young, Freddy Quesada</t>
  </si>
  <si>
    <t>Este</t>
  </si>
  <si>
    <t>15-33% cobertura de nubes</t>
  </si>
  <si>
    <t>Seco</t>
  </si>
  <si>
    <t>Despejado (soleado total)- 0-15% cobertura de nubes, 15-33% cobertura de nubes</t>
  </si>
  <si>
    <t>Freddy hizo observaciones aparte de las de Amanda y Bruce</t>
  </si>
  <si>
    <t xml:space="preserve">Nueva Zelandia - Brasilia </t>
  </si>
  <si>
    <t>Albán Jiménez Céspedes</t>
  </si>
  <si>
    <t>ajimenez@acguanacaste.ac.cr</t>
  </si>
  <si>
    <t>Ivannia Sandoval Castro</t>
  </si>
  <si>
    <t>Noreste</t>
  </si>
  <si>
    <t>Despejado (soleado total)- 0-15% cobertura de nubes</t>
  </si>
  <si>
    <t>Gracias por la actividad</t>
  </si>
  <si>
    <t>Leiva to Brasilia</t>
  </si>
  <si>
    <t>Frank Joyce</t>
  </si>
  <si>
    <t>frankjoycejr@gmail.com</t>
  </si>
  <si>
    <t>Helen Joyce, Frank Joyce</t>
  </si>
  <si>
    <t>Frank estaba enfermo del estomago y intestinos por 3 horas</t>
  </si>
  <si>
    <t>Sensoria</t>
  </si>
  <si>
    <t>Francis Joyce</t>
  </si>
  <si>
    <t>fhjoyce@gmail.com</t>
  </si>
  <si>
    <t>Francis Joyce, Katy Van Dusen</t>
  </si>
  <si>
    <t>Pitilla</t>
  </si>
  <si>
    <t>Calixto Moraga Medina</t>
  </si>
  <si>
    <t>calxto.moraga@acguanacaste.ac.cr</t>
  </si>
  <si>
    <t>Calixto Moraga Medina, Manuel Ríos Castro</t>
  </si>
  <si>
    <t>Nublado- 66-100% cobertura de nubes, Con neblina</t>
  </si>
  <si>
    <t>Pitilla Sendero Laguna</t>
  </si>
  <si>
    <t>Pitilla Pasmompa</t>
  </si>
  <si>
    <t>Calixto</t>
  </si>
  <si>
    <t>33-66% cobertura de nubes, Nublado- 66-100% cobertura de nubes, Con neblina</t>
  </si>
  <si>
    <t>Lluvia</t>
  </si>
  <si>
    <t>Pitilla Bosque Pasmompa. See ebird list: https://ebird.org/checklist/S291213194 (time does not match Excel form... presumably birded both on way into Pitilla and on way out?)</t>
  </si>
  <si>
    <t>San Cristobal</t>
  </si>
  <si>
    <t>Neyvin Hernández Cortés</t>
  </si>
  <si>
    <t>Neyvin, Luis Fernando</t>
  </si>
  <si>
    <t>FHJ entered based on this ebird checklist: https://ebird.org/checklist/S291235630</t>
  </si>
  <si>
    <t>partially cloudy</t>
  </si>
  <si>
    <t>Precipitación leve</t>
  </si>
  <si>
    <t>Despejado, nublado</t>
  </si>
  <si>
    <t>leve/seco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</si>
</sst>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19" xfId="0" applyFont="1" applyNumberForma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0" displayName="Form_Responses" name="Form_Responses" id="1">
  <tableColumns count="28">
    <tableColumn name="Timestamp" id="1"/>
    <tableColumn name="Nombre de ruta" id="2"/>
    <tableColumn name="Líder de ruta" id="3"/>
    <tableColumn name="Correo electrónico de líder " id="4"/>
    <tableColumn name="Lista de participantes" id="5"/>
    <tableColumn name="Hora de inicio" id="6"/>
    <tableColumn name="Hora de finalización" id="7"/>
    <tableColumn name="Temperatura mínima (grados C)" id="8"/>
    <tableColumn name="Temperatura máxima (Grados C)" id="9"/>
    <tableColumn name="Dirección de viento" id="10"/>
    <tableColumn name="Velocidad  mínima de viento  (km/hr)" id="11"/>
    <tableColumn name="Velocidad máxima de viento (km/hr)" id="12"/>
    <tableColumn name="Cobertura de nubes" id="13"/>
    <tableColumn name="Precipitación" id="14"/>
    <tableColumn name="Cobertura de nubes 2" id="15"/>
    <tableColumn name="Precipitación 2" id="16"/>
    <tableColumn name="Distancia recorrido a pie (km)" id="17"/>
    <tableColumn name="Tiempo recorrido a pie (horas)" id="18"/>
    <tableColumn name="Distancia recorrido en carro (km)" id="19"/>
    <tableColumn name="Tiempo recorrido en carro (horas)" id="20"/>
    <tableColumn name="Distancia recorrido en moto (km)" id="21"/>
    <tableColumn name="Tiempo recorrido en moto (horas)" id="22"/>
    <tableColumn name="Distancia recorrido en panga (km)" id="23"/>
    <tableColumn name="Tiempo recorrido en panga (horas)" id="24"/>
    <tableColumn name="Distancia recorrido pajareando de noche (km)" id="25"/>
    <tableColumn name="Tiempo pajareando de noche (horas)" id="26"/>
    <tableColumn name="Tiempo pajareando en comederos (horas)" id="27"/>
    <tableColumn name="¿Algún comentario o retroalimentación?" id="2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88"/>
    <col customWidth="1" min="5" max="5" width="21.0"/>
    <col customWidth="1" min="6" max="6" width="18.88"/>
    <col customWidth="1" min="7" max="7" width="19.75"/>
    <col customWidth="1" min="8" max="8" width="28.38"/>
    <col customWidth="1" min="9" max="9" width="29.0"/>
    <col customWidth="1" min="10" max="10" width="19.13"/>
    <col customWidth="1" min="11" max="11" width="32.0"/>
    <col customWidth="1" min="12" max="12" width="31.63"/>
    <col customWidth="1" min="13" max="13" width="19.63"/>
    <col customWidth="1" min="14" max="14" width="18.88"/>
    <col customWidth="1" min="15" max="15" width="19.63"/>
    <col customWidth="1" min="16" max="16" width="18.88"/>
    <col customWidth="1" min="17" max="17" width="26.75"/>
    <col customWidth="1" min="18" max="18" width="27.25"/>
    <col customWidth="1" min="19" max="19" width="29.13"/>
    <col customWidth="1" min="20" max="20" width="29.75"/>
    <col customWidth="1" min="21" max="21" width="29.25"/>
    <col customWidth="1" min="22" max="22" width="29.75"/>
    <col customWidth="1" min="23" max="23" width="29.88"/>
    <col customWidth="1" min="24" max="24" width="30.5"/>
    <col customWidth="1" min="25" max="25" width="37.63"/>
    <col customWidth="1" min="26" max="26" width="32.0"/>
    <col customWidth="1" min="27" max="27" width="35.75"/>
    <col customWidth="1" min="28" max="28" width="34.25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>
        <v>46023.45927866898</v>
      </c>
      <c r="B2" s="3" t="s">
        <v>28</v>
      </c>
      <c r="C2" s="3" t="s">
        <v>29</v>
      </c>
      <c r="D2" s="3" t="s">
        <v>30</v>
      </c>
      <c r="E2" s="3">
        <v>3.0</v>
      </c>
      <c r="F2" s="4">
        <v>0.25</v>
      </c>
      <c r="G2" s="4">
        <v>0.7083333333357587</v>
      </c>
      <c r="H2" s="3">
        <v>23.0</v>
      </c>
      <c r="I2" s="3">
        <v>28.0</v>
      </c>
      <c r="J2" s="3" t="s">
        <v>31</v>
      </c>
      <c r="K2" s="3">
        <v>12.0</v>
      </c>
      <c r="L2" s="3">
        <v>28.0</v>
      </c>
      <c r="M2" s="3" t="s">
        <v>32</v>
      </c>
      <c r="N2" s="3" t="s">
        <v>33</v>
      </c>
      <c r="O2" s="3" t="s">
        <v>32</v>
      </c>
      <c r="P2" s="3" t="s">
        <v>33</v>
      </c>
      <c r="Q2" s="3">
        <v>4.0</v>
      </c>
      <c r="R2" s="3">
        <v>4.0</v>
      </c>
      <c r="S2" s="3">
        <v>4.0</v>
      </c>
      <c r="T2" s="3">
        <v>0.3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 t="s">
        <v>34</v>
      </c>
    </row>
    <row r="3" ht="22.5" customHeight="1">
      <c r="A3" s="2">
        <v>46023.823582349534</v>
      </c>
      <c r="B3" s="3" t="s">
        <v>35</v>
      </c>
      <c r="C3" s="3" t="s">
        <v>36</v>
      </c>
      <c r="D3" s="3" t="s">
        <v>37</v>
      </c>
      <c r="E3" s="3" t="s">
        <v>38</v>
      </c>
      <c r="F3" s="4">
        <v>0.27222222222189885</v>
      </c>
      <c r="G3" s="4">
        <v>0.6006944444452529</v>
      </c>
      <c r="H3" s="5"/>
      <c r="I3" s="5"/>
      <c r="J3" s="3" t="s">
        <v>39</v>
      </c>
      <c r="K3" s="5"/>
      <c r="L3" s="5"/>
      <c r="M3" s="3" t="s">
        <v>40</v>
      </c>
      <c r="N3" s="3" t="s">
        <v>33</v>
      </c>
      <c r="O3" s="3" t="s">
        <v>40</v>
      </c>
      <c r="P3" s="3" t="s">
        <v>33</v>
      </c>
      <c r="Q3" s="3">
        <v>0.4</v>
      </c>
      <c r="R3" s="3">
        <v>2.5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5"/>
    </row>
    <row r="4" ht="22.5" customHeight="1">
      <c r="A4" s="2">
        <v>46025.66915393519</v>
      </c>
      <c r="B4" s="3" t="s">
        <v>41</v>
      </c>
      <c r="C4" s="3" t="s">
        <v>42</v>
      </c>
      <c r="D4" s="3" t="s">
        <v>43</v>
      </c>
      <c r="E4" s="3" t="s">
        <v>44</v>
      </c>
      <c r="F4" s="4">
        <v>0.19791666666424135</v>
      </c>
      <c r="G4" s="4">
        <v>0.5833333333357587</v>
      </c>
      <c r="H4" s="3">
        <v>16.0</v>
      </c>
      <c r="I4" s="3">
        <v>23.0</v>
      </c>
      <c r="J4" s="3" t="s">
        <v>45</v>
      </c>
      <c r="K4" s="3">
        <v>20.0</v>
      </c>
      <c r="L4" s="3">
        <v>50.0</v>
      </c>
      <c r="M4" s="3" t="s">
        <v>46</v>
      </c>
      <c r="N4" s="3" t="s">
        <v>47</v>
      </c>
      <c r="O4" s="3" t="s">
        <v>48</v>
      </c>
      <c r="P4" s="3" t="s">
        <v>47</v>
      </c>
      <c r="Q4" s="3">
        <v>9.2</v>
      </c>
      <c r="R4" s="3">
        <v>13.25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0.2</v>
      </c>
      <c r="Z4" s="3">
        <v>1.0</v>
      </c>
      <c r="AA4" s="3">
        <v>0.0</v>
      </c>
      <c r="AB4" s="3" t="s">
        <v>49</v>
      </c>
    </row>
    <row r="5" ht="22.5" customHeight="1">
      <c r="A5" s="2">
        <v>46035.371428321756</v>
      </c>
      <c r="B5" s="3" t="s">
        <v>50</v>
      </c>
      <c r="C5" s="3" t="s">
        <v>51</v>
      </c>
      <c r="D5" s="3" t="s">
        <v>52</v>
      </c>
      <c r="E5" s="3" t="s">
        <v>53</v>
      </c>
      <c r="F5" s="4">
        <v>0.29166666666424135</v>
      </c>
      <c r="G5" s="4">
        <v>0.6666666666642413</v>
      </c>
      <c r="H5" s="3">
        <v>21.0</v>
      </c>
      <c r="I5" s="3">
        <v>30.0</v>
      </c>
      <c r="J5" s="3" t="s">
        <v>54</v>
      </c>
      <c r="K5" s="3">
        <v>5.0</v>
      </c>
      <c r="L5" s="3">
        <v>30.0</v>
      </c>
      <c r="M5" s="3" t="s">
        <v>46</v>
      </c>
      <c r="N5" s="3" t="s">
        <v>33</v>
      </c>
      <c r="O5" s="3" t="s">
        <v>55</v>
      </c>
      <c r="P5" s="3" t="s">
        <v>47</v>
      </c>
      <c r="Q5" s="3">
        <v>1.0</v>
      </c>
      <c r="R5" s="3">
        <v>1.0</v>
      </c>
      <c r="S5" s="3">
        <v>42.0</v>
      </c>
      <c r="T5" s="3">
        <v>8.0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 t="s">
        <v>56</v>
      </c>
    </row>
    <row r="6" ht="22.5" customHeight="1">
      <c r="A6" s="6">
        <v>46079.906046006945</v>
      </c>
      <c r="B6" s="7" t="s">
        <v>57</v>
      </c>
      <c r="C6" s="7" t="s">
        <v>58</v>
      </c>
      <c r="D6" s="7" t="s">
        <v>59</v>
      </c>
      <c r="E6" s="7" t="s">
        <v>60</v>
      </c>
      <c r="F6" s="8">
        <v>0.23611111110949423</v>
      </c>
      <c r="G6" s="8">
        <v>0.6041666666642413</v>
      </c>
      <c r="H6" s="7">
        <v>23.0</v>
      </c>
      <c r="I6" s="7">
        <v>30.0</v>
      </c>
      <c r="J6" s="7" t="s">
        <v>54</v>
      </c>
      <c r="K6" s="7">
        <v>3.0</v>
      </c>
      <c r="L6" s="7">
        <v>10.0</v>
      </c>
      <c r="M6" s="7" t="s">
        <v>46</v>
      </c>
      <c r="N6" s="7" t="s">
        <v>47</v>
      </c>
      <c r="O6" s="7" t="s">
        <v>55</v>
      </c>
      <c r="P6" s="7" t="s">
        <v>47</v>
      </c>
      <c r="Q6" s="7">
        <v>1.0</v>
      </c>
      <c r="R6" s="7">
        <v>2.0</v>
      </c>
      <c r="S6" s="7">
        <v>12.0</v>
      </c>
      <c r="T6" s="7">
        <v>2.5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 t="s">
        <v>61</v>
      </c>
    </row>
    <row r="7" ht="22.5" customHeight="1">
      <c r="A7" s="6">
        <v>46081.76795849537</v>
      </c>
      <c r="B7" s="7" t="s">
        <v>62</v>
      </c>
      <c r="C7" s="7" t="s">
        <v>63</v>
      </c>
      <c r="D7" s="7" t="s">
        <v>64</v>
      </c>
      <c r="E7" s="7" t="s">
        <v>65</v>
      </c>
      <c r="F7" s="8">
        <v>0.21666666666715173</v>
      </c>
      <c r="G7" s="8">
        <v>0.6111111111094942</v>
      </c>
      <c r="N7" s="7" t="s">
        <v>33</v>
      </c>
      <c r="Q7" s="7">
        <v>5.0</v>
      </c>
      <c r="R7" s="7">
        <v>9.47</v>
      </c>
      <c r="Y7" s="7">
        <v>0.2</v>
      </c>
      <c r="Z7" s="7">
        <v>0.13</v>
      </c>
      <c r="AA7" s="7">
        <v>0.0</v>
      </c>
    </row>
    <row r="8" ht="22.5" customHeight="1">
      <c r="A8" s="6">
        <v>46081.77190929398</v>
      </c>
      <c r="B8" s="7" t="s">
        <v>66</v>
      </c>
      <c r="C8" s="7" t="s">
        <v>67</v>
      </c>
      <c r="D8" s="7" t="s">
        <v>68</v>
      </c>
      <c r="E8" s="7" t="s">
        <v>69</v>
      </c>
      <c r="F8" s="8">
        <v>0.41666666666424135</v>
      </c>
      <c r="G8" s="8">
        <v>0.46875</v>
      </c>
      <c r="M8" s="7" t="s">
        <v>70</v>
      </c>
      <c r="Q8" s="7">
        <v>0.84</v>
      </c>
      <c r="R8" s="7">
        <v>1.25</v>
      </c>
      <c r="AB8" s="7" t="s">
        <v>71</v>
      </c>
    </row>
    <row r="9" ht="22.5" customHeight="1">
      <c r="A9" s="6">
        <v>46081.77951755787</v>
      </c>
      <c r="B9" s="7" t="s">
        <v>72</v>
      </c>
      <c r="C9" s="7" t="s">
        <v>73</v>
      </c>
      <c r="F9" s="8">
        <v>0.375</v>
      </c>
      <c r="G9" s="8">
        <v>0.41666666666424135</v>
      </c>
      <c r="M9" s="7" t="s">
        <v>74</v>
      </c>
      <c r="N9" s="7" t="s">
        <v>75</v>
      </c>
      <c r="Q9" s="7">
        <v>0.3</v>
      </c>
      <c r="R9" s="7">
        <v>1.0</v>
      </c>
      <c r="AB9" s="7" t="s">
        <v>76</v>
      </c>
    </row>
    <row r="10" ht="22.5" customHeight="1">
      <c r="A10" s="6">
        <v>46081.78553042824</v>
      </c>
      <c r="B10" s="7" t="s">
        <v>77</v>
      </c>
      <c r="C10" s="7" t="s">
        <v>78</v>
      </c>
      <c r="E10" s="7" t="s">
        <v>79</v>
      </c>
      <c r="F10" s="8">
        <v>0.26527777777664596</v>
      </c>
      <c r="G10" s="8">
        <v>0.43402777778101154</v>
      </c>
      <c r="Q10" s="7">
        <v>1.41</v>
      </c>
      <c r="AB10" s="7" t="s">
        <v>80</v>
      </c>
    </row>
    <row r="12">
      <c r="F12" s="9">
        <f>MIN(Form_Responses[Hora de inicio])</f>
        <v>0.1979166667</v>
      </c>
      <c r="G12" s="9">
        <f>MAX(Form_Responses[Hora de finalización])</f>
        <v>0.7083333333</v>
      </c>
      <c r="H12" s="10">
        <f>MIN(Form_Responses[Temperatura mínima (grados C)])</f>
        <v>16</v>
      </c>
      <c r="I12" s="10">
        <f>MAX(Form_Responses[Temperatura máxima (Grados C)])</f>
        <v>30</v>
      </c>
      <c r="J12" s="11" t="s">
        <v>31</v>
      </c>
      <c r="K12" s="10">
        <f>MIN(Form_Responses[Velocidad  mínima de viento  (km/hr)])</f>
        <v>3</v>
      </c>
      <c r="L12" s="10">
        <f>MAX(Form_Responses[Velocidad máxima de viento (km/hr)])</f>
        <v>50</v>
      </c>
      <c r="M12" s="11" t="s">
        <v>81</v>
      </c>
      <c r="N12" s="11" t="s">
        <v>82</v>
      </c>
      <c r="O12" s="11" t="s">
        <v>83</v>
      </c>
      <c r="P12" s="11" t="s">
        <v>84</v>
      </c>
      <c r="Q12" s="10">
        <f>SUM(Form_Responses[Distancia recorrido a pie (km)])</f>
        <v>23.15</v>
      </c>
      <c r="R12" s="10">
        <f>SUM(Form_Responses[Tiempo recorrido a pie (horas)])</f>
        <v>34.47</v>
      </c>
      <c r="S12" s="10">
        <f>SUM(Form_Responses[Distancia recorrido en carro (km)])</f>
        <v>58</v>
      </c>
      <c r="T12" s="10">
        <f>SUM(Form_Responses[Tiempo recorrido en carro (horas)])</f>
        <v>10.8</v>
      </c>
    </row>
  </sheetData>
  <drawing r:id="rId1"/>
  <tableParts count="1">
    <tablePart r:id="rId3"/>
  </tableParts>
</worksheet>
</file>